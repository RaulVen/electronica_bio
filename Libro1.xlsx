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electronica\"/>
    </mc:Choice>
  </mc:AlternateContent>
  <xr:revisionPtr revIDLastSave="0" documentId="13_ncr:1_{66376CA8-51D8-43F1-A49F-0FD1EF1A8BF5}" xr6:coauthVersionLast="47" xr6:coauthVersionMax="47" xr10:uidLastSave="{00000000-0000-0000-0000-000000000000}"/>
  <bookViews>
    <workbookView xWindow="0" yWindow="0" windowWidth="14400" windowHeight="15600" xr2:uid="{744828D8-1218-43D2-8F03-EA1DCEC784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<sst xmlns="http://schemas.openxmlformats.org/spreadsheetml/2006/main" count="88" uniqueCount="81">
  <si>
    <t>Item</t>
  </si>
  <si>
    <t>Qty</t>
  </si>
  <si>
    <t>Reference(s)</t>
  </si>
  <si>
    <t>Value</t>
  </si>
  <si>
    <t>AN0, AN32, AN33, UARTRX2, UARTTX2</t>
  </si>
  <si>
    <t>Conn_01x03_Socket</t>
  </si>
  <si>
    <t>AN34, AN35, P12, P13, P14, P27</t>
  </si>
  <si>
    <t>CH1, CH2, CH3, CH4, IN1, IN2, IN3, IN4, PWR1</t>
  </si>
  <si>
    <t>LED</t>
  </si>
  <si>
    <t>Footprint</t>
  </si>
  <si>
    <t>Connector_PinHeader_2.54mm:PinHeader_1x03_P2.54mm_Vertical</t>
  </si>
  <si>
    <t>TerminalBlock_Phoenix:TerminalBlock_Phoenix_MKDS-1,5-3_1x03_P5.00mm_Horizontal</t>
  </si>
  <si>
    <t>LED_SMD:LED_1206_3216Metric_Pad1.42x1.75mm_HandSolder</t>
  </si>
  <si>
    <t>CP5, CP7</t>
  </si>
  <si>
    <t>220uF</t>
  </si>
  <si>
    <t>CP6, CP8</t>
  </si>
  <si>
    <t>0.1uF</t>
  </si>
  <si>
    <t>DP3</t>
  </si>
  <si>
    <t>1N4007</t>
  </si>
  <si>
    <t>DR1, DR2, DR5, DR6</t>
  </si>
  <si>
    <t>SMAJ6.5CA</t>
  </si>
  <si>
    <t>DR3, DR7</t>
  </si>
  <si>
    <t>SMAJ12CA</t>
  </si>
  <si>
    <t>DR4, DR8</t>
  </si>
  <si>
    <t>1N5819WS</t>
  </si>
  <si>
    <t>Capacitor_THT:CP_Radial_D8.0mm_P3.50mm</t>
  </si>
  <si>
    <t>Capacitor_SMD:C_1206_3216Metric</t>
  </si>
  <si>
    <t>Diode_SMD:D_SMB_Handsoldering</t>
  </si>
  <si>
    <t>Diode_SMD:D_SMA</t>
  </si>
  <si>
    <t>Diode_SMD:D_SMA_Handsoldering</t>
  </si>
  <si>
    <t>GTW1</t>
  </si>
  <si>
    <t>Conn_01x04</t>
  </si>
  <si>
    <t>I2C4, IO2, IO4, IO15, IO22, P3V317, P5V18, PP18, PWR_3V3</t>
  </si>
  <si>
    <t>Conn_01x02_Socket</t>
  </si>
  <si>
    <t>J1</t>
  </si>
  <si>
    <t>Conn_01x08</t>
  </si>
  <si>
    <t>LCD-SHT1</t>
  </si>
  <si>
    <t>Conn_01x04_Socket</t>
  </si>
  <si>
    <t>Generic connector, single row, 01x04, script generated (kicad-library-utils/schlib/autogen/connector/)</t>
  </si>
  <si>
    <t>Generic connector, single row, 01x02, script generated</t>
  </si>
  <si>
    <t>Generic connector, single row, 01x08, script generated (kicad-library-utils/schlib/autogen/connector/)</t>
  </si>
  <si>
    <t>Generic connector, single row, 01x04, script generated</t>
  </si>
  <si>
    <t>LP1</t>
  </si>
  <si>
    <t>68uF</t>
  </si>
  <si>
    <t>Inductor_SMD:L_7.3x7.3_H4.5</t>
  </si>
  <si>
    <t>OPT1, OPT2, OPT3, OPT4</t>
  </si>
  <si>
    <t>DC Optocoupler, Vce 35V, SMD</t>
  </si>
  <si>
    <t>PC817 smd</t>
  </si>
  <si>
    <t>PR2, PR3</t>
  </si>
  <si>
    <t>Generic connector, single row, 01x04</t>
  </si>
  <si>
    <t>RA3</t>
  </si>
  <si>
    <t>10K</t>
  </si>
  <si>
    <t>RA4</t>
  </si>
  <si>
    <t>470R</t>
  </si>
  <si>
    <t>RELAY1, RELAY2, RELAY3, RELAY4</t>
  </si>
  <si>
    <t>SRD-12VDC-SL-C</t>
  </si>
  <si>
    <t>4 resistor network, parallel topology</t>
  </si>
  <si>
    <t>RELAY_SRD-12VDC-SL-C</t>
  </si>
  <si>
    <t>RP4, RR2, RR3, RR5, RR6</t>
  </si>
  <si>
    <t>4.7k</t>
  </si>
  <si>
    <t>RR1, RR4</t>
  </si>
  <si>
    <t>Resistor_SMD:R_1206</t>
  </si>
  <si>
    <t>RTC1</t>
  </si>
  <si>
    <t>SDP1</t>
  </si>
  <si>
    <t>SS34</t>
  </si>
  <si>
    <t>40V 3A Schottky Diode, SMA</t>
  </si>
  <si>
    <t>U1</t>
  </si>
  <si>
    <t>ESP32-DevKitC</t>
  </si>
  <si>
    <t>U2</t>
  </si>
  <si>
    <t>Shifter4Chanels</t>
  </si>
  <si>
    <t>U4</t>
  </si>
  <si>
    <t>ULN2003AID</t>
  </si>
  <si>
    <t>50-V, 7-ch darlington transistor array</t>
  </si>
  <si>
    <t>U6</t>
  </si>
  <si>
    <t>TSR_1-2433</t>
  </si>
  <si>
    <t>1A step-down regulator module, fixed 3.3V output voltage, 5-36V input voltage</t>
  </si>
  <si>
    <t>UP7</t>
  </si>
  <si>
    <t>XL1509-ADJ</t>
  </si>
  <si>
    <t>smd</t>
  </si>
  <si>
    <t>UR2, UR3</t>
  </si>
  <si>
    <t>MAX3485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</si>
</sst>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64F2-E50C-4D4A-A2F8-629713693BAD}">
  <dimension ref="A1:E36"/>
  <sheetViews>
    <sheetView tabSelected="1" topLeftCell="B1" workbookViewId="0">
      <selection activeCell="F26" sqref="C26:F26"/>
    </sheetView>
  </sheetViews>
  <sheetFormatPr baseColWidth="10" defaultRowHeight="15" x14ac:dyDescent="0.25"/>
  <cols>
    <col min="3" max="3" width="39.28515625" customWidth="1"/>
    <col min="4" max="4" width="2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1</v>
      </c>
      <c r="B2">
        <v>5</v>
      </c>
      <c r="C2" t="s">
        <v>4</v>
      </c>
      <c r="D2" t="s">
        <v>5</v>
      </c>
      <c r="E2" t="s">
        <v>10</v>
      </c>
    </row>
    <row r="3" spans="1:5" x14ac:dyDescent="0.25">
      <c r="A3">
        <v>2</v>
      </c>
      <c r="B3">
        <v>6</v>
      </c>
      <c r="C3" t="s">
        <v>6</v>
      </c>
      <c r="D3" t="s">
        <v>5</v>
      </c>
      <c r="E3" t="s">
        <v>11</v>
      </c>
    </row>
    <row r="4" spans="1:5" x14ac:dyDescent="0.25">
      <c r="A4">
        <v>3</v>
      </c>
      <c r="B4">
        <v>9</v>
      </c>
      <c r="C4" t="s">
        <v>7</v>
      </c>
      <c r="D4" t="s">
        <v>8</v>
      </c>
      <c r="E4" t="s">
        <v>12</v>
      </c>
    </row>
    <row r="5" spans="1:5" x14ac:dyDescent="0.25">
      <c r="A5">
        <v>4</v>
      </c>
      <c r="B5">
        <v>2</v>
      </c>
      <c r="C5" t="s">
        <v>13</v>
      </c>
      <c r="D5" t="s">
        <v>14</v>
      </c>
      <c r="E5" t="s">
        <v>25</v>
      </c>
    </row>
    <row r="6" spans="1:5" x14ac:dyDescent="0.25">
      <c r="A6">
        <v>5</v>
      </c>
      <c r="B6">
        <v>2</v>
      </c>
      <c r="C6" t="s">
        <v>15</v>
      </c>
      <c r="D6" t="s">
        <v>16</v>
      </c>
      <c r="E6" t="s">
        <v>26</v>
      </c>
    </row>
    <row r="7" spans="1:5" x14ac:dyDescent="0.25">
      <c r="A7">
        <v>6</v>
      </c>
      <c r="B7">
        <v>1</v>
      </c>
      <c r="C7" t="s">
        <v>17</v>
      </c>
      <c r="D7" t="s">
        <v>18</v>
      </c>
      <c r="E7" t="s">
        <v>27</v>
      </c>
    </row>
    <row r="8" spans="1:5" x14ac:dyDescent="0.25">
      <c r="A8">
        <v>7</v>
      </c>
      <c r="B8">
        <v>4</v>
      </c>
      <c r="C8" t="s">
        <v>19</v>
      </c>
      <c r="D8" t="s">
        <v>20</v>
      </c>
      <c r="E8" t="s">
        <v>28</v>
      </c>
    </row>
    <row r="9" spans="1:5" x14ac:dyDescent="0.25">
      <c r="A9">
        <v>8</v>
      </c>
      <c r="B9">
        <v>2</v>
      </c>
      <c r="C9" t="s">
        <v>21</v>
      </c>
      <c r="D9" t="s">
        <v>22</v>
      </c>
      <c r="E9" t="s">
        <v>28</v>
      </c>
    </row>
    <row r="10" spans="1:5" x14ac:dyDescent="0.25">
      <c r="A10">
        <v>9</v>
      </c>
      <c r="B10">
        <v>2</v>
      </c>
      <c r="C10" t="s">
        <v>23</v>
      </c>
      <c r="D10" t="s">
        <v>24</v>
      </c>
      <c r="E10" t="s">
        <v>29</v>
      </c>
    </row>
    <row r="11" spans="1:5" x14ac:dyDescent="0.25">
      <c r="A11">
        <v>10</v>
      </c>
      <c r="B11">
        <v>1</v>
      </c>
      <c r="C11" t="s">
        <v>30</v>
      </c>
      <c r="D11" t="s">
        <v>31</v>
      </c>
      <c r="E11" t="s">
        <v>38</v>
      </c>
    </row>
    <row r="12" spans="1:5" x14ac:dyDescent="0.25">
      <c r="A12">
        <v>11</v>
      </c>
      <c r="B12">
        <v>9</v>
      </c>
      <c r="C12" t="s">
        <v>32</v>
      </c>
      <c r="D12" t="s">
        <v>33</v>
      </c>
      <c r="E12" t="s">
        <v>39</v>
      </c>
    </row>
    <row r="13" spans="1:5" x14ac:dyDescent="0.25">
      <c r="A13">
        <v>12</v>
      </c>
      <c r="B13">
        <v>1</v>
      </c>
      <c r="C13" t="s">
        <v>34</v>
      </c>
      <c r="D13" t="s">
        <v>35</v>
      </c>
      <c r="E13" t="s">
        <v>40</v>
      </c>
    </row>
    <row r="14" spans="1:5" x14ac:dyDescent="0.25">
      <c r="A14">
        <v>13</v>
      </c>
      <c r="B14">
        <v>1</v>
      </c>
      <c r="C14" t="s">
        <v>36</v>
      </c>
      <c r="D14" t="s">
        <v>37</v>
      </c>
      <c r="E14" t="s">
        <v>41</v>
      </c>
    </row>
    <row r="15" spans="1:5" x14ac:dyDescent="0.25">
      <c r="A15">
        <v>14</v>
      </c>
      <c r="B15">
        <v>1</v>
      </c>
      <c r="C15" t="s">
        <v>42</v>
      </c>
      <c r="D15" t="s">
        <v>43</v>
      </c>
      <c r="E15" t="s">
        <v>44</v>
      </c>
    </row>
    <row r="16" spans="1:5" x14ac:dyDescent="0.25">
      <c r="A16">
        <v>15</v>
      </c>
      <c r="B16">
        <v>4</v>
      </c>
      <c r="C16" t="s">
        <v>45</v>
      </c>
      <c r="D16" t="s">
        <v>47</v>
      </c>
      <c r="E16" t="s">
        <v>46</v>
      </c>
    </row>
    <row r="17" spans="1:5" x14ac:dyDescent="0.25">
      <c r="A17">
        <v>16</v>
      </c>
      <c r="B17">
        <v>2</v>
      </c>
      <c r="C17" t="s">
        <v>48</v>
      </c>
      <c r="D17" t="s">
        <v>31</v>
      </c>
      <c r="E17" t="s">
        <v>49</v>
      </c>
    </row>
    <row r="18" spans="1:5" x14ac:dyDescent="0.25">
      <c r="A18">
        <v>17</v>
      </c>
      <c r="B18">
        <v>1</v>
      </c>
      <c r="C18" t="s">
        <v>50</v>
      </c>
      <c r="D18" t="s">
        <v>51</v>
      </c>
      <c r="E18" t="s">
        <v>56</v>
      </c>
    </row>
    <row r="19" spans="1:5" x14ac:dyDescent="0.25">
      <c r="A19">
        <v>18</v>
      </c>
      <c r="B19">
        <v>1</v>
      </c>
      <c r="C19" t="s">
        <v>52</v>
      </c>
      <c r="D19" t="s">
        <v>53</v>
      </c>
      <c r="E19" t="s">
        <v>56</v>
      </c>
    </row>
    <row r="20" spans="1:5" x14ac:dyDescent="0.25">
      <c r="A20">
        <v>19</v>
      </c>
      <c r="B20">
        <v>4</v>
      </c>
      <c r="C20" t="s">
        <v>54</v>
      </c>
      <c r="D20" t="s">
        <v>55</v>
      </c>
      <c r="E20" t="s">
        <v>57</v>
      </c>
    </row>
    <row r="21" spans="1:5" x14ac:dyDescent="0.25">
      <c r="A21">
        <v>21</v>
      </c>
      <c r="B21">
        <v>5</v>
      </c>
      <c r="C21" t="s">
        <v>58</v>
      </c>
      <c r="D21" t="s">
        <v>59</v>
      </c>
      <c r="E21" t="s">
        <v>61</v>
      </c>
    </row>
    <row r="22" spans="1:5" x14ac:dyDescent="0.25">
      <c r="A22">
        <v>22</v>
      </c>
      <c r="B22">
        <v>2</v>
      </c>
      <c r="C22" t="s">
        <v>60</v>
      </c>
      <c r="D22">
        <v>499</v>
      </c>
      <c r="E22" t="s">
        <v>61</v>
      </c>
    </row>
    <row r="23" spans="1:5" x14ac:dyDescent="0.25">
      <c r="A23">
        <v>23</v>
      </c>
      <c r="B23">
        <v>1</v>
      </c>
      <c r="C23" t="s">
        <v>62</v>
      </c>
      <c r="D23" t="s">
        <v>37</v>
      </c>
      <c r="E23" t="s">
        <v>41</v>
      </c>
    </row>
    <row r="24" spans="1:5" x14ac:dyDescent="0.25">
      <c r="A24">
        <v>24</v>
      </c>
      <c r="B24">
        <v>1</v>
      </c>
      <c r="C24" t="s">
        <v>63</v>
      </c>
      <c r="D24" t="s">
        <v>64</v>
      </c>
      <c r="E24" t="s">
        <v>65</v>
      </c>
    </row>
    <row r="25" spans="1:5" x14ac:dyDescent="0.25">
      <c r="A25">
        <v>25</v>
      </c>
      <c r="B25">
        <v>1</v>
      </c>
      <c r="C25" t="s">
        <v>66</v>
      </c>
      <c r="D25" t="s">
        <v>67</v>
      </c>
    </row>
    <row r="26" spans="1:5" x14ac:dyDescent="0.25">
      <c r="A26">
        <v>26</v>
      </c>
      <c r="B26">
        <v>1</v>
      </c>
      <c r="C26" t="s">
        <v>68</v>
      </c>
      <c r="D26" t="s">
        <v>69</v>
      </c>
    </row>
    <row r="27" spans="1:5" x14ac:dyDescent="0.25">
      <c r="A27">
        <v>27</v>
      </c>
      <c r="B27">
        <v>1</v>
      </c>
      <c r="C27" t="s">
        <v>70</v>
      </c>
      <c r="D27" t="s">
        <v>71</v>
      </c>
      <c r="E27" t="s">
        <v>72</v>
      </c>
    </row>
    <row r="28" spans="1:5" x14ac:dyDescent="0.25">
      <c r="A28">
        <v>28</v>
      </c>
      <c r="B28">
        <v>1</v>
      </c>
      <c r="C28" t="s">
        <v>73</v>
      </c>
      <c r="D28" t="s">
        <v>74</v>
      </c>
      <c r="E28" t="s">
        <v>75</v>
      </c>
    </row>
    <row r="29" spans="1:5" x14ac:dyDescent="0.25">
      <c r="A29">
        <v>29</v>
      </c>
      <c r="B29">
        <v>1</v>
      </c>
      <c r="C29" t="s">
        <v>76</v>
      </c>
      <c r="D29" t="s">
        <v>77</v>
      </c>
      <c r="E29" t="s">
        <v>78</v>
      </c>
    </row>
    <row r="30" spans="1:5" x14ac:dyDescent="0.25">
      <c r="A30">
        <v>30</v>
      </c>
      <c r="B30">
        <v>2</v>
      </c>
      <c r="C30" t="s">
        <v>79</v>
      </c>
      <c r="D30" t="s">
        <v>80</v>
      </c>
    </row>
    <row r="35" spans="4:5" x14ac:dyDescent="0.25">
      <c r="D35">
        <v>6210.09</v>
      </c>
      <c r="E35">
        <v>116</v>
      </c>
    </row>
    <row r="36" spans="4:5" x14ac:dyDescent="0.25">
      <c r="D36">
        <f>E36*D35/E35</f>
        <v>5353.5258620689656</v>
      </c>
      <c r="E3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2025-11-13T18:24:48Z</dcterms:created>
  <dcterms:modified xsi:type="dcterms:W3CDTF">2025-11-14T03:32:59Z</dcterms:modified>
</cp:coreProperties>
</file>